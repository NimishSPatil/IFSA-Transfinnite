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mish S Patil\Desktop\IFSA\"/>
    </mc:Choice>
  </mc:AlternateContent>
  <xr:revisionPtr revIDLastSave="0" documentId="13_ncr:1_{E7B064F1-5513-4B7E-A0C3-7BB0701EBD2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  <sheet name="Formul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I27" i="1"/>
  <c r="J27" i="1" s="1"/>
  <c r="E27" i="1"/>
  <c r="I26" i="1"/>
  <c r="J26" i="1" s="1"/>
  <c r="E26" i="1"/>
  <c r="I25" i="1"/>
  <c r="J25" i="1" s="1"/>
  <c r="E25" i="1"/>
  <c r="I24" i="1"/>
  <c r="J24" i="1" s="1"/>
  <c r="E24" i="1"/>
  <c r="I23" i="1"/>
  <c r="J23" i="1" s="1"/>
  <c r="E23" i="1"/>
  <c r="I22" i="1"/>
  <c r="J22" i="1" s="1"/>
  <c r="E22" i="1"/>
  <c r="I21" i="1"/>
  <c r="J21" i="1" s="1"/>
  <c r="E21" i="1"/>
  <c r="I20" i="1"/>
  <c r="J20" i="1" s="1"/>
  <c r="E20" i="1"/>
  <c r="I19" i="1"/>
  <c r="J19" i="1" s="1"/>
  <c r="E19" i="1"/>
  <c r="J18" i="1"/>
  <c r="I18" i="1"/>
  <c r="E18" i="1"/>
  <c r="I17" i="1"/>
  <c r="J17" i="1" s="1"/>
  <c r="E17" i="1"/>
  <c r="I16" i="1"/>
  <c r="J16" i="1" s="1"/>
  <c r="E16" i="1"/>
  <c r="I15" i="1"/>
  <c r="J15" i="1" s="1"/>
  <c r="E15" i="1"/>
  <c r="I14" i="1"/>
  <c r="J14" i="1" s="1"/>
  <c r="E14" i="1"/>
  <c r="I13" i="1"/>
  <c r="J13" i="1" s="1"/>
  <c r="E13" i="1"/>
  <c r="I12" i="1"/>
  <c r="J12" i="1" s="1"/>
  <c r="E12" i="1"/>
  <c r="I11" i="1"/>
  <c r="J11" i="1" s="1"/>
  <c r="E11" i="1"/>
  <c r="I10" i="1"/>
  <c r="J10" i="1" s="1"/>
  <c r="E10" i="1"/>
  <c r="I9" i="1"/>
  <c r="J9" i="1" s="1"/>
  <c r="E9" i="1"/>
  <c r="I8" i="1"/>
  <c r="J8" i="1" s="1"/>
  <c r="E8" i="1"/>
  <c r="I7" i="1"/>
  <c r="J7" i="1" s="1"/>
  <c r="E7" i="1"/>
  <c r="I6" i="1"/>
  <c r="J6" i="1" s="1"/>
  <c r="E6" i="1"/>
  <c r="I5" i="1"/>
  <c r="J5" i="1" s="1"/>
  <c r="E5" i="1"/>
  <c r="I4" i="1"/>
  <c r="J4" i="1" s="1"/>
  <c r="E4" i="1"/>
  <c r="I3" i="1"/>
  <c r="J3" i="1" s="1"/>
  <c r="E3" i="1"/>
  <c r="I2" i="1"/>
  <c r="J2" i="1" s="1"/>
  <c r="E2" i="1"/>
  <c r="F26" i="1" l="1"/>
  <c r="F25" i="1"/>
  <c r="F24" i="1"/>
  <c r="F22" i="1"/>
  <c r="F8" i="1"/>
  <c r="F20" i="1"/>
  <c r="F16" i="1"/>
  <c r="F18" i="1"/>
  <c r="F3" i="1"/>
  <c r="F2" i="1"/>
  <c r="F6" i="1"/>
  <c r="F7" i="1"/>
  <c r="F10" i="1"/>
  <c r="F27" i="1"/>
  <c r="F23" i="1"/>
  <c r="F11" i="1"/>
  <c r="F21" i="1"/>
  <c r="F14" i="1"/>
  <c r="F19" i="1"/>
  <c r="F15" i="1"/>
  <c r="F17" i="1"/>
  <c r="F13" i="1"/>
  <c r="F12" i="1"/>
  <c r="F9" i="1"/>
  <c r="F5" i="1"/>
  <c r="F4" i="1"/>
  <c r="G26" i="1" l="1"/>
  <c r="H26" i="1"/>
  <c r="G25" i="1"/>
  <c r="H25" i="1"/>
  <c r="G24" i="1"/>
  <c r="H24" i="1"/>
  <c r="G22" i="1"/>
  <c r="H22" i="1"/>
  <c r="G8" i="1"/>
  <c r="H8" i="1"/>
  <c r="G20" i="1"/>
  <c r="H20" i="1"/>
  <c r="G16" i="1"/>
  <c r="H16" i="1"/>
  <c r="H18" i="1"/>
  <c r="G18" i="1"/>
  <c r="H3" i="1"/>
  <c r="G3" i="1"/>
  <c r="H2" i="1"/>
  <c r="G2" i="1"/>
  <c r="G6" i="1"/>
  <c r="H6" i="1"/>
  <c r="G7" i="1"/>
  <c r="H7" i="1"/>
  <c r="H10" i="1"/>
  <c r="G10" i="1"/>
  <c r="G27" i="1"/>
  <c r="H27" i="1"/>
  <c r="G23" i="1"/>
  <c r="H23" i="1"/>
  <c r="H11" i="1"/>
  <c r="G11" i="1"/>
  <c r="G21" i="1"/>
  <c r="H21" i="1"/>
  <c r="G14" i="1"/>
  <c r="H14" i="1"/>
  <c r="G19" i="1"/>
  <c r="H19" i="1"/>
  <c r="G15" i="1"/>
  <c r="H15" i="1"/>
  <c r="G17" i="1"/>
  <c r="H17" i="1"/>
  <c r="G13" i="1"/>
  <c r="H13" i="1"/>
  <c r="H12" i="1"/>
  <c r="G12" i="1"/>
  <c r="H9" i="1"/>
  <c r="G9" i="1"/>
  <c r="G5" i="1"/>
  <c r="H5" i="1"/>
  <c r="G4" i="1"/>
  <c r="H4" i="1"/>
</calcChain>
</file>

<file path=xl/sharedStrings.xml><?xml version="1.0" encoding="utf-8"?>
<sst xmlns="http://schemas.openxmlformats.org/spreadsheetml/2006/main" count="62" uniqueCount="42">
  <si>
    <t>Week starting</t>
  </si>
  <si>
    <t>Month</t>
  </si>
  <si>
    <t>ISO week</t>
  </si>
  <si>
    <t>Demand index</t>
  </si>
  <si>
    <t>Demand level</t>
  </si>
  <si>
    <t>Report every (days)</t>
  </si>
  <si>
    <t>Reports per month</t>
  </si>
  <si>
    <t>Reports per week</t>
  </si>
  <si>
    <t>Bottles ordered</t>
  </si>
  <si>
    <t>Bottles ordered (lakh)</t>
  </si>
  <si>
    <t>Current practice (days)</t>
  </si>
  <si>
    <t>Feb 2027</t>
  </si>
  <si>
    <t>Mar 2027</t>
  </si>
  <si>
    <t>Apr 2027</t>
  </si>
  <si>
    <t>May 2027</t>
  </si>
  <si>
    <t>Jun 2027</t>
  </si>
  <si>
    <t>Jul 2027</t>
  </si>
  <si>
    <t>Sales reporting frequency: formula and inputs</t>
  </si>
  <si>
    <t>Input</t>
  </si>
  <si>
    <t>Value</t>
  </si>
  <si>
    <t>Name</t>
  </si>
  <si>
    <t>Reporting interval at peak demand (days)</t>
  </si>
  <si>
    <t>R_peak</t>
  </si>
  <si>
    <t>Longest reporting interval allowed (days)</t>
  </si>
  <si>
    <t>R_max</t>
  </si>
  <si>
    <t>Demand index that should give 30 days</t>
  </si>
  <si>
    <t>d_ref</t>
  </si>
  <si>
    <t>Interval at that demand (days)</t>
  </si>
  <si>
    <t>R_ref</t>
  </si>
  <si>
    <t>Peak-week bottles ordered, 2027</t>
  </si>
  <si>
    <t>Peak</t>
  </si>
  <si>
    <t>Exponent k = ln(R_ref / R_peak) / ln(1 / d_ref)</t>
  </si>
  <si>
    <t>k</t>
  </si>
  <si>
    <t>Reporting interval (days) = MIN( R_max , MAX( R_peak , R_peak × d ^ (−k) ) )</t>
  </si>
  <si>
    <t>d = weekly demand index (1.0 = the busiest week of the year).</t>
  </si>
  <si>
    <t>Reports per month = 30 ÷ interval.   Reports per week = 7 ÷ interval.</t>
  </si>
  <si>
    <t>Where the numbers come from</t>
  </si>
  <si>
    <t>Demand index: 2024–25 weekly ordered demand averaged by week of the year, smoothed, divided by the peak week (week 20).</t>
  </si>
  <si>
    <t>Peak-week bottles: average of the 8 peak weeks of 2026 (67.4 lakh a week, including sales lost to stock-outs) × 1.116.</t>
  </si>
  <si>
    <t>1.116 = next point on the logarithmic growth path 45% → 32% → 25% → 19% → 15% → 11.6%.</t>
  </si>
  <si>
    <t>'Bottles ordered' means bottles, not the number of order documents (the case does not give an order size).</t>
  </si>
  <si>
    <t>Blue cells on the Formula sheet are inputs; change them and the Data sheet recalculates.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</si>
</sst>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5BB8"/>
      </patternFill>
    </fill>
    <fill>
      <patternFill patternType="solid">
        <fgColor rgb="FFEAF1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3E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0" xfId="0" applyFont="1"/>
    <xf numFmtId="0" fontId="2" fillId="2" borderId="0" xfId="0" applyFont="1" applyFill="1"/>
    <xf numFmtId="0" fontId="0" fillId="3" borderId="0" xfId="0" applyFill="1"/>
    <xf numFmtId="3" fontId="0" fillId="3" borderId="0" xfId="0" applyNumberFormat="1" applyFill="1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9" customWidth="1"/>
    <col min="4" max="5" width="13" customWidth="1"/>
    <col min="6" max="6" width="14" customWidth="1"/>
    <col min="7" max="8" width="13" customWidth="1"/>
    <col min="9" max="10" width="16" customWidth="1"/>
    <col min="11" max="11" width="15" customWidth="1"/>
  </cols>
  <sheetData>
    <row r="1" spans="1:1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46419</v>
      </c>
      <c r="B2" s="3" t="s">
        <v>11</v>
      </c>
      <c r="C2" s="4">
        <v>5</v>
      </c>
      <c r="D2" s="5">
        <v>0.36299999999999999</v>
      </c>
      <c r="E2" s="4" t="str">
        <f t="shared" ref="E2:E27" si="0">IF(D2&gt;=0.85,"Peak",IF(D2&gt;=0.65,"High",IF(D2&gt;=0.5,"Medium","Low")))</f>
        <v>Low</v>
      </c>
      <c r="F2" s="6">
        <f>ROUND(MIN(Formula!$B$5,MAX(Formula!$B$4,Formula!$B$4*D2^(-Formula!$B$9))),1)</f>
        <v>35</v>
      </c>
      <c r="G2" s="6">
        <f t="shared" ref="G2:G27" si="1">ROUND(30/F2,1)</f>
        <v>0.9</v>
      </c>
      <c r="H2" s="7">
        <f t="shared" ref="H2:H27" si="2">ROUND(7/F2,2)</f>
        <v>0.2</v>
      </c>
      <c r="I2" s="8">
        <f>ROUND(D2*Formula!$B$8,-3)</f>
        <v>2732000</v>
      </c>
      <c r="J2" s="6">
        <f t="shared" ref="J2:J27" si="3">ROUND(I2/100000,1)</f>
        <v>27.3</v>
      </c>
      <c r="K2" s="4">
        <v>30</v>
      </c>
    </row>
    <row r="3" spans="1:11" x14ac:dyDescent="0.25">
      <c r="A3" s="2">
        <v>46426</v>
      </c>
      <c r="B3" s="3" t="s">
        <v>11</v>
      </c>
      <c r="C3" s="4">
        <v>6</v>
      </c>
      <c r="D3" s="5">
        <v>0.38600000000000001</v>
      </c>
      <c r="E3" s="4" t="str">
        <f t="shared" si="0"/>
        <v>Low</v>
      </c>
      <c r="F3" s="6">
        <f>ROUND(MIN(Formula!$B$5,MAX(Formula!$B$4,Formula!$B$4*D3^(-Formula!$B$9))),1)</f>
        <v>32.6</v>
      </c>
      <c r="G3" s="6">
        <f t="shared" si="1"/>
        <v>0.9</v>
      </c>
      <c r="H3" s="7">
        <f t="shared" si="2"/>
        <v>0.21</v>
      </c>
      <c r="I3" s="8">
        <f>ROUND(D3*Formula!$B$8,-3)</f>
        <v>2905000</v>
      </c>
      <c r="J3" s="6">
        <f t="shared" si="3"/>
        <v>29.1</v>
      </c>
      <c r="K3" s="4">
        <v>30</v>
      </c>
    </row>
    <row r="4" spans="1:11" x14ac:dyDescent="0.25">
      <c r="A4" s="2">
        <v>46433</v>
      </c>
      <c r="B4" s="3" t="s">
        <v>11</v>
      </c>
      <c r="C4" s="4">
        <v>7</v>
      </c>
      <c r="D4" s="5">
        <v>0.41399999999999998</v>
      </c>
      <c r="E4" s="4" t="str">
        <f t="shared" si="0"/>
        <v>Low</v>
      </c>
      <c r="F4" s="6">
        <f>ROUND(MIN(Formula!$B$5,MAX(Formula!$B$4,Formula!$B$4*D4^(-Formula!$B$9))),1)</f>
        <v>27.7</v>
      </c>
      <c r="G4" s="6">
        <f t="shared" si="1"/>
        <v>1.1000000000000001</v>
      </c>
      <c r="H4" s="7">
        <f t="shared" si="2"/>
        <v>0.25</v>
      </c>
      <c r="I4" s="8">
        <f>ROUND(D4*Formula!$B$8,-3)</f>
        <v>3116000</v>
      </c>
      <c r="J4" s="6">
        <f t="shared" si="3"/>
        <v>31.2</v>
      </c>
      <c r="K4" s="4">
        <v>30</v>
      </c>
    </row>
    <row r="5" spans="1:11" x14ac:dyDescent="0.25">
      <c r="A5" s="2">
        <v>46440</v>
      </c>
      <c r="B5" s="3" t="s">
        <v>11</v>
      </c>
      <c r="C5" s="4">
        <v>8</v>
      </c>
      <c r="D5" s="5">
        <v>0.45100000000000001</v>
      </c>
      <c r="E5" s="4" t="str">
        <f t="shared" si="0"/>
        <v>Low</v>
      </c>
      <c r="F5" s="6">
        <f>ROUND(MIN(Formula!$B$5,MAX(Formula!$B$4,Formula!$B$4*D5^(-Formula!$B$9))),1)</f>
        <v>22.6</v>
      </c>
      <c r="G5" s="6">
        <f t="shared" si="1"/>
        <v>1.3</v>
      </c>
      <c r="H5" s="7">
        <f t="shared" si="2"/>
        <v>0.31</v>
      </c>
      <c r="I5" s="8">
        <f>ROUND(D5*Formula!$B$8,-3)</f>
        <v>3394000</v>
      </c>
      <c r="J5" s="6">
        <f t="shared" si="3"/>
        <v>33.9</v>
      </c>
      <c r="K5" s="4">
        <v>30</v>
      </c>
    </row>
    <row r="6" spans="1:11" x14ac:dyDescent="0.25">
      <c r="A6" s="2">
        <v>46447</v>
      </c>
      <c r="B6" s="3" t="s">
        <v>12</v>
      </c>
      <c r="C6" s="4">
        <v>9</v>
      </c>
      <c r="D6" s="5">
        <v>0.49299999999999999</v>
      </c>
      <c r="E6" s="4" t="str">
        <f t="shared" si="0"/>
        <v>Low</v>
      </c>
      <c r="F6" s="6">
        <f>ROUND(MIN(Formula!$B$5,MAX(Formula!$B$4,Formula!$B$4*D6^(-Formula!$B$9))),1)</f>
        <v>18.399999999999999</v>
      </c>
      <c r="G6" s="6">
        <f t="shared" si="1"/>
        <v>1.6</v>
      </c>
      <c r="H6" s="7">
        <f t="shared" si="2"/>
        <v>0.38</v>
      </c>
      <c r="I6" s="8">
        <f>ROUND(D6*Formula!$B$8,-3)</f>
        <v>3710000</v>
      </c>
      <c r="J6" s="6">
        <f t="shared" si="3"/>
        <v>37.1</v>
      </c>
      <c r="K6" s="4">
        <v>30</v>
      </c>
    </row>
    <row r="7" spans="1:11" x14ac:dyDescent="0.25">
      <c r="A7" s="2">
        <v>46454</v>
      </c>
      <c r="B7" s="3" t="s">
        <v>12</v>
      </c>
      <c r="C7" s="4">
        <v>10</v>
      </c>
      <c r="D7" s="5">
        <v>0.54300000000000004</v>
      </c>
      <c r="E7" s="4" t="str">
        <f t="shared" si="0"/>
        <v>Medium</v>
      </c>
      <c r="F7" s="6">
        <f>ROUND(MIN(Formula!$B$5,MAX(Formula!$B$4,Formula!$B$4*D7^(-Formula!$B$9))),1)</f>
        <v>14.7</v>
      </c>
      <c r="G7" s="6">
        <f t="shared" si="1"/>
        <v>2</v>
      </c>
      <c r="H7" s="7">
        <f t="shared" si="2"/>
        <v>0.48</v>
      </c>
      <c r="I7" s="8">
        <f>ROUND(D7*Formula!$B$8,-3)</f>
        <v>4087000</v>
      </c>
      <c r="J7" s="6">
        <f t="shared" si="3"/>
        <v>40.9</v>
      </c>
      <c r="K7" s="4">
        <v>30</v>
      </c>
    </row>
    <row r="8" spans="1:11" x14ac:dyDescent="0.25">
      <c r="A8" s="2">
        <v>46461</v>
      </c>
      <c r="B8" s="3" t="s">
        <v>12</v>
      </c>
      <c r="C8" s="4">
        <v>11</v>
      </c>
      <c r="D8" s="5">
        <v>0.59499999999999997</v>
      </c>
      <c r="E8" s="4" t="str">
        <f t="shared" si="0"/>
        <v>Medium</v>
      </c>
      <c r="F8" s="6">
        <f>ROUND(MIN(Formula!$B$5,MAX(Formula!$B$4,Formula!$B$4*D8^(-Formula!$B$9))),1)</f>
        <v>11.8</v>
      </c>
      <c r="G8" s="6">
        <f t="shared" si="1"/>
        <v>2.5</v>
      </c>
      <c r="H8" s="7">
        <f t="shared" si="2"/>
        <v>0.59</v>
      </c>
      <c r="I8" s="8">
        <f>ROUND(D8*Formula!$B$8,-3)</f>
        <v>4478000</v>
      </c>
      <c r="J8" s="6">
        <f t="shared" si="3"/>
        <v>44.8</v>
      </c>
      <c r="K8" s="4">
        <v>30</v>
      </c>
    </row>
    <row r="9" spans="1:11" x14ac:dyDescent="0.25">
      <c r="A9" s="2">
        <v>46468</v>
      </c>
      <c r="B9" s="3" t="s">
        <v>12</v>
      </c>
      <c r="C9" s="4">
        <v>12</v>
      </c>
      <c r="D9" s="5">
        <v>0.65600000000000003</v>
      </c>
      <c r="E9" s="4" t="str">
        <f t="shared" si="0"/>
        <v>High</v>
      </c>
      <c r="F9" s="6">
        <f>ROUND(MIN(Formula!$B$5,MAX(Formula!$B$4,Formula!$B$4*D9^(-Formula!$B$9))),1)</f>
        <v>9.4</v>
      </c>
      <c r="G9" s="6">
        <f t="shared" si="1"/>
        <v>3.2</v>
      </c>
      <c r="H9" s="7">
        <f t="shared" si="2"/>
        <v>0.74</v>
      </c>
      <c r="I9" s="8">
        <f>ROUND(D9*Formula!$B$8,-3)</f>
        <v>4937000</v>
      </c>
      <c r="J9" s="6">
        <f t="shared" si="3"/>
        <v>49.4</v>
      </c>
      <c r="K9" s="4">
        <v>30</v>
      </c>
    </row>
    <row r="10" spans="1:11" x14ac:dyDescent="0.25">
      <c r="A10" s="2">
        <v>46475</v>
      </c>
      <c r="B10" s="3" t="s">
        <v>12</v>
      </c>
      <c r="C10" s="4">
        <v>13</v>
      </c>
      <c r="D10" s="5">
        <v>0.72799999999999998</v>
      </c>
      <c r="E10" s="4" t="str">
        <f t="shared" si="0"/>
        <v>High</v>
      </c>
      <c r="F10" s="6">
        <f>ROUND(MIN(Formula!$B$5,MAX(Formula!$B$4,Formula!$B$4*D10^(-Formula!$B$9))),1)</f>
        <v>7.4</v>
      </c>
      <c r="G10" s="6">
        <f t="shared" si="1"/>
        <v>4.0999999999999996</v>
      </c>
      <c r="H10" s="7">
        <f t="shared" si="2"/>
        <v>0.95</v>
      </c>
      <c r="I10" s="8">
        <f>ROUND(D10*Formula!$B$8,-3)</f>
        <v>5479000</v>
      </c>
      <c r="J10" s="6">
        <f t="shared" si="3"/>
        <v>54.8</v>
      </c>
      <c r="K10" s="4">
        <v>30</v>
      </c>
    </row>
    <row r="11" spans="1:11" x14ac:dyDescent="0.25">
      <c r="A11" s="2">
        <v>46482</v>
      </c>
      <c r="B11" s="3" t="s">
        <v>13</v>
      </c>
      <c r="C11" s="4">
        <v>14</v>
      </c>
      <c r="D11" s="5">
        <v>0.80400000000000005</v>
      </c>
      <c r="E11" s="4" t="str">
        <f t="shared" si="0"/>
        <v>High</v>
      </c>
      <c r="F11" s="6">
        <f>ROUND(MIN(Formula!$B$5,MAX(Formula!$B$4,Formula!$B$4*D11^(-Formula!$B$9))),1)</f>
        <v>5.8</v>
      </c>
      <c r="G11" s="6">
        <f t="shared" si="1"/>
        <v>5.2</v>
      </c>
      <c r="H11" s="7">
        <f t="shared" si="2"/>
        <v>1.21</v>
      </c>
      <c r="I11" s="8">
        <f>ROUND(D11*Formula!$B$8,-3)</f>
        <v>6051000</v>
      </c>
      <c r="J11" s="6">
        <f t="shared" si="3"/>
        <v>60.5</v>
      </c>
      <c r="K11" s="4">
        <v>30</v>
      </c>
    </row>
    <row r="12" spans="1:11" x14ac:dyDescent="0.25">
      <c r="A12" s="2">
        <v>46489</v>
      </c>
      <c r="B12" s="3" t="s">
        <v>13</v>
      </c>
      <c r="C12" s="4">
        <v>15</v>
      </c>
      <c r="D12" s="5">
        <v>0.89100000000000001</v>
      </c>
      <c r="E12" s="4" t="str">
        <f t="shared" si="0"/>
        <v>Peak</v>
      </c>
      <c r="F12" s="6">
        <f>ROUND(MIN(Formula!$B$5,MAX(Formula!$B$4,Formula!$B$4*D12^(-Formula!$B$9))),1)</f>
        <v>4.5999999999999996</v>
      </c>
      <c r="G12" s="6">
        <f t="shared" si="1"/>
        <v>6.5</v>
      </c>
      <c r="H12" s="7">
        <f t="shared" si="2"/>
        <v>1.52</v>
      </c>
      <c r="I12" s="8">
        <f>ROUND(D12*Formula!$B$8,-3)</f>
        <v>6706000</v>
      </c>
      <c r="J12" s="6">
        <f t="shared" si="3"/>
        <v>67.099999999999994</v>
      </c>
      <c r="K12" s="4">
        <v>30</v>
      </c>
    </row>
    <row r="13" spans="1:11" x14ac:dyDescent="0.25">
      <c r="A13" s="2">
        <v>46496</v>
      </c>
      <c r="B13" s="3" t="s">
        <v>13</v>
      </c>
      <c r="C13" s="4">
        <v>16</v>
      </c>
      <c r="D13" s="5">
        <v>0.94499999999999995</v>
      </c>
      <c r="E13" s="4" t="str">
        <f t="shared" si="0"/>
        <v>Peak</v>
      </c>
      <c r="F13" s="6">
        <f>ROUND(MIN(Formula!$B$5,MAX(Formula!$B$4,Formula!$B$4*D13^(-Formula!$B$9))),1)</f>
        <v>4</v>
      </c>
      <c r="G13" s="6">
        <f t="shared" si="1"/>
        <v>7.5</v>
      </c>
      <c r="H13" s="7">
        <f t="shared" si="2"/>
        <v>1.75</v>
      </c>
      <c r="I13" s="8">
        <f>ROUND(D13*Formula!$B$8,-3)</f>
        <v>7112000</v>
      </c>
      <c r="J13" s="6">
        <f t="shared" si="3"/>
        <v>71.099999999999994</v>
      </c>
      <c r="K13" s="4">
        <v>30</v>
      </c>
    </row>
    <row r="14" spans="1:11" x14ac:dyDescent="0.25">
      <c r="A14" s="2">
        <v>46503</v>
      </c>
      <c r="B14" s="3" t="s">
        <v>13</v>
      </c>
      <c r="C14" s="4">
        <v>17</v>
      </c>
      <c r="D14" s="5">
        <v>0.97499999999999998</v>
      </c>
      <c r="E14" s="4" t="str">
        <f t="shared" si="0"/>
        <v>Peak</v>
      </c>
      <c r="F14" s="6">
        <f>ROUND(MIN(Formula!$B$5,MAX(Formula!$B$4,Formula!$B$4*D14^(-Formula!$B$9))),1)</f>
        <v>3.7</v>
      </c>
      <c r="G14" s="6">
        <f t="shared" si="1"/>
        <v>8.1</v>
      </c>
      <c r="H14" s="7">
        <f t="shared" si="2"/>
        <v>1.89</v>
      </c>
      <c r="I14" s="8">
        <f>ROUND(D14*Formula!$B$8,-3)</f>
        <v>7338000</v>
      </c>
      <c r="J14" s="6">
        <f t="shared" si="3"/>
        <v>73.400000000000006</v>
      </c>
      <c r="K14" s="4">
        <v>30</v>
      </c>
    </row>
    <row r="15" spans="1:11" x14ac:dyDescent="0.25">
      <c r="A15" s="2">
        <v>46510</v>
      </c>
      <c r="B15" s="3" t="s">
        <v>14</v>
      </c>
      <c r="C15" s="4">
        <v>18</v>
      </c>
      <c r="D15" s="5">
        <v>0.97799999999999998</v>
      </c>
      <c r="E15" s="4" t="str">
        <f t="shared" si="0"/>
        <v>Peak</v>
      </c>
      <c r="F15" s="6">
        <f>ROUND(MIN(Formula!$B$5,MAX(Formula!$B$4,Formula!$B$4*D15^(-Formula!$B$9))),1)</f>
        <v>3.7</v>
      </c>
      <c r="G15" s="6">
        <f t="shared" si="1"/>
        <v>8.1</v>
      </c>
      <c r="H15" s="7">
        <f t="shared" si="2"/>
        <v>1.89</v>
      </c>
      <c r="I15" s="8">
        <f>ROUND(D15*Formula!$B$8,-3)</f>
        <v>7360000</v>
      </c>
      <c r="J15" s="6">
        <f t="shared" si="3"/>
        <v>73.599999999999994</v>
      </c>
      <c r="K15" s="4">
        <v>30</v>
      </c>
    </row>
    <row r="16" spans="1:11" x14ac:dyDescent="0.25">
      <c r="A16" s="2">
        <v>46517</v>
      </c>
      <c r="B16" s="3" t="s">
        <v>14</v>
      </c>
      <c r="C16" s="4">
        <v>19</v>
      </c>
      <c r="D16" s="5">
        <v>0.98599999999999999</v>
      </c>
      <c r="E16" s="4" t="str">
        <f t="shared" si="0"/>
        <v>Peak</v>
      </c>
      <c r="F16" s="6">
        <f>ROUND(MIN(Formula!$B$5,MAX(Formula!$B$4,Formula!$B$4*D16^(-Formula!$B$9))),1)</f>
        <v>3.6</v>
      </c>
      <c r="G16" s="6">
        <f t="shared" si="1"/>
        <v>8.3000000000000007</v>
      </c>
      <c r="H16" s="7">
        <f t="shared" si="2"/>
        <v>1.94</v>
      </c>
      <c r="I16" s="8">
        <f>ROUND(D16*Formula!$B$8,-3)</f>
        <v>7421000</v>
      </c>
      <c r="J16" s="6">
        <f t="shared" si="3"/>
        <v>74.2</v>
      </c>
      <c r="K16" s="4">
        <v>30</v>
      </c>
    </row>
    <row r="17" spans="1:11" x14ac:dyDescent="0.25">
      <c r="A17" s="2">
        <v>46524</v>
      </c>
      <c r="B17" s="3" t="s">
        <v>14</v>
      </c>
      <c r="C17" s="4">
        <v>20</v>
      </c>
      <c r="D17" s="5">
        <v>1</v>
      </c>
      <c r="E17" s="4" t="str">
        <f t="shared" si="0"/>
        <v>Peak</v>
      </c>
      <c r="F17" s="6">
        <f>ROUND(MIN(Formula!$B$5,MAX(Formula!$B$4,Formula!$B$4*D17^(-Formula!$B$9))),1)</f>
        <v>3.5</v>
      </c>
      <c r="G17" s="6">
        <f t="shared" si="1"/>
        <v>8.6</v>
      </c>
      <c r="H17" s="7">
        <f t="shared" si="2"/>
        <v>2</v>
      </c>
      <c r="I17" s="8">
        <f>ROUND(D17*Formula!$B$8,-3)</f>
        <v>7526000</v>
      </c>
      <c r="J17" s="6">
        <f t="shared" si="3"/>
        <v>75.3</v>
      </c>
      <c r="K17" s="4">
        <v>30</v>
      </c>
    </row>
    <row r="18" spans="1:11" x14ac:dyDescent="0.25">
      <c r="A18" s="2">
        <v>46531</v>
      </c>
      <c r="B18" s="3" t="s">
        <v>14</v>
      </c>
      <c r="C18" s="4">
        <v>21</v>
      </c>
      <c r="D18" s="5">
        <v>0.99</v>
      </c>
      <c r="E18" s="4" t="str">
        <f t="shared" si="0"/>
        <v>Peak</v>
      </c>
      <c r="F18" s="6">
        <f>ROUND(MIN(Formula!$B$5,MAX(Formula!$B$4,Formula!$B$4*D18^(-Formula!$B$9))),1)</f>
        <v>3.6</v>
      </c>
      <c r="G18" s="6">
        <f t="shared" si="1"/>
        <v>8.3000000000000007</v>
      </c>
      <c r="H18" s="7">
        <f t="shared" si="2"/>
        <v>1.94</v>
      </c>
      <c r="I18" s="8">
        <f>ROUND(D18*Formula!$B$8,-3)</f>
        <v>7451000</v>
      </c>
      <c r="J18" s="6">
        <f t="shared" si="3"/>
        <v>74.5</v>
      </c>
      <c r="K18" s="4">
        <v>30</v>
      </c>
    </row>
    <row r="19" spans="1:11" x14ac:dyDescent="0.25">
      <c r="A19" s="2">
        <v>46538</v>
      </c>
      <c r="B19" s="3" t="s">
        <v>14</v>
      </c>
      <c r="C19" s="4">
        <v>22</v>
      </c>
      <c r="D19" s="5">
        <v>0.98</v>
      </c>
      <c r="E19" s="4" t="str">
        <f t="shared" si="0"/>
        <v>Peak</v>
      </c>
      <c r="F19" s="6">
        <f>ROUND(MIN(Formula!$B$5,MAX(Formula!$B$4,Formula!$B$4*D19^(-Formula!$B$9))),1)</f>
        <v>3.7</v>
      </c>
      <c r="G19" s="6">
        <f t="shared" si="1"/>
        <v>8.1</v>
      </c>
      <c r="H19" s="7">
        <f t="shared" si="2"/>
        <v>1.89</v>
      </c>
      <c r="I19" s="8">
        <f>ROUND(D19*Formula!$B$8,-3)</f>
        <v>7375000</v>
      </c>
      <c r="J19" s="6">
        <f t="shared" si="3"/>
        <v>73.8</v>
      </c>
      <c r="K19" s="4">
        <v>30</v>
      </c>
    </row>
    <row r="20" spans="1:11" x14ac:dyDescent="0.25">
      <c r="A20" s="2">
        <v>46545</v>
      </c>
      <c r="B20" s="3" t="s">
        <v>15</v>
      </c>
      <c r="C20" s="4">
        <v>23</v>
      </c>
      <c r="D20" s="5">
        <v>0.95399999999999996</v>
      </c>
      <c r="E20" s="4" t="str">
        <f t="shared" si="0"/>
        <v>Peak</v>
      </c>
      <c r="F20" s="6">
        <f>ROUND(MIN(Formula!$B$5,MAX(Formula!$B$4,Formula!$B$4*D20^(-Formula!$B$9))),1)</f>
        <v>3.9</v>
      </c>
      <c r="G20" s="6">
        <f t="shared" si="1"/>
        <v>7.7</v>
      </c>
      <c r="H20" s="7">
        <f t="shared" si="2"/>
        <v>1.79</v>
      </c>
      <c r="I20" s="8">
        <f>ROUND(D20*Formula!$B$8,-3)</f>
        <v>7180000</v>
      </c>
      <c r="J20" s="6">
        <f t="shared" si="3"/>
        <v>71.8</v>
      </c>
      <c r="K20" s="4">
        <v>30</v>
      </c>
    </row>
    <row r="21" spans="1:11" x14ac:dyDescent="0.25">
      <c r="A21" s="2">
        <v>46552</v>
      </c>
      <c r="B21" s="3" t="s">
        <v>15</v>
      </c>
      <c r="C21" s="4">
        <v>24</v>
      </c>
      <c r="D21" s="5">
        <v>0.92300000000000004</v>
      </c>
      <c r="E21" s="4" t="str">
        <f t="shared" si="0"/>
        <v>Peak</v>
      </c>
      <c r="F21" s="6">
        <f>ROUND(MIN(Formula!$B$5,MAX(Formula!$B$4,Formula!$B$4*D21^(-Formula!$B$9))),1)</f>
        <v>4.2</v>
      </c>
      <c r="G21" s="6">
        <f t="shared" si="1"/>
        <v>7.1</v>
      </c>
      <c r="H21" s="7">
        <f t="shared" si="2"/>
        <v>1.67</v>
      </c>
      <c r="I21" s="8">
        <f>ROUND(D21*Formula!$B$8,-3)</f>
        <v>6946000</v>
      </c>
      <c r="J21" s="6">
        <f t="shared" si="3"/>
        <v>69.5</v>
      </c>
      <c r="K21" s="4">
        <v>30</v>
      </c>
    </row>
    <row r="22" spans="1:11" x14ac:dyDescent="0.25">
      <c r="A22" s="2">
        <v>46559</v>
      </c>
      <c r="B22" s="3" t="s">
        <v>15</v>
      </c>
      <c r="C22" s="4">
        <v>25</v>
      </c>
      <c r="D22" s="5">
        <v>0.85699999999999998</v>
      </c>
      <c r="E22" s="4" t="str">
        <f t="shared" si="0"/>
        <v>Peak</v>
      </c>
      <c r="F22" s="6">
        <f>ROUND(MIN(Formula!$B$5,MAX(Formula!$B$4,Formula!$B$4*D22^(-Formula!$B$9))),1)</f>
        <v>5</v>
      </c>
      <c r="G22" s="6">
        <f t="shared" si="1"/>
        <v>6</v>
      </c>
      <c r="H22" s="7">
        <f t="shared" si="2"/>
        <v>1.4</v>
      </c>
      <c r="I22" s="8">
        <f>ROUND(D22*Formula!$B$8,-3)</f>
        <v>6450000</v>
      </c>
      <c r="J22" s="6">
        <f t="shared" si="3"/>
        <v>64.5</v>
      </c>
      <c r="K22" s="4">
        <v>30</v>
      </c>
    </row>
    <row r="23" spans="1:11" x14ac:dyDescent="0.25">
      <c r="A23" s="2">
        <v>46566</v>
      </c>
      <c r="B23" s="3" t="s">
        <v>15</v>
      </c>
      <c r="C23" s="4">
        <v>26</v>
      </c>
      <c r="D23" s="5">
        <v>0.77600000000000002</v>
      </c>
      <c r="E23" s="4" t="str">
        <f t="shared" si="0"/>
        <v>High</v>
      </c>
      <c r="F23" s="6">
        <f>ROUND(MIN(Formula!$B$5,MAX(Formula!$B$4,Formula!$B$4*D23^(-Formula!$B$9))),1)</f>
        <v>6.3</v>
      </c>
      <c r="G23" s="6">
        <f t="shared" si="1"/>
        <v>4.8</v>
      </c>
      <c r="H23" s="7">
        <f t="shared" si="2"/>
        <v>1.1100000000000001</v>
      </c>
      <c r="I23" s="8">
        <f>ROUND(D23*Formula!$B$8,-3)</f>
        <v>5840000</v>
      </c>
      <c r="J23" s="6">
        <f t="shared" si="3"/>
        <v>58.4</v>
      </c>
      <c r="K23" s="4">
        <v>30</v>
      </c>
    </row>
    <row r="24" spans="1:11" x14ac:dyDescent="0.25">
      <c r="A24" s="2">
        <v>46573</v>
      </c>
      <c r="B24" s="3" t="s">
        <v>16</v>
      </c>
      <c r="C24" s="4">
        <v>27</v>
      </c>
      <c r="D24" s="5">
        <v>0.69</v>
      </c>
      <c r="E24" s="4" t="str">
        <f t="shared" si="0"/>
        <v>High</v>
      </c>
      <c r="F24" s="6">
        <f>ROUND(MIN(Formula!$B$5,MAX(Formula!$B$4,Formula!$B$4*D24^(-Formula!$B$9))),1)</f>
        <v>8.4</v>
      </c>
      <c r="G24" s="6">
        <f t="shared" si="1"/>
        <v>3.6</v>
      </c>
      <c r="H24" s="7">
        <f t="shared" si="2"/>
        <v>0.83</v>
      </c>
      <c r="I24" s="8">
        <f>ROUND(D24*Formula!$B$8,-3)</f>
        <v>5193000</v>
      </c>
      <c r="J24" s="6">
        <f t="shared" si="3"/>
        <v>51.9</v>
      </c>
      <c r="K24" s="4">
        <v>30</v>
      </c>
    </row>
    <row r="25" spans="1:11" x14ac:dyDescent="0.25">
      <c r="A25" s="2">
        <v>46580</v>
      </c>
      <c r="B25" s="3" t="s">
        <v>16</v>
      </c>
      <c r="C25" s="4">
        <v>28</v>
      </c>
      <c r="D25" s="5">
        <v>0.61399999999999999</v>
      </c>
      <c r="E25" s="4" t="str">
        <f t="shared" si="0"/>
        <v>Medium</v>
      </c>
      <c r="F25" s="6">
        <f>ROUND(MIN(Formula!$B$5,MAX(Formula!$B$4,Formula!$B$4*D25^(-Formula!$B$9))),1)</f>
        <v>11</v>
      </c>
      <c r="G25" s="6">
        <f t="shared" si="1"/>
        <v>2.7</v>
      </c>
      <c r="H25" s="7">
        <f t="shared" si="2"/>
        <v>0.64</v>
      </c>
      <c r="I25" s="8">
        <f>ROUND(D25*Formula!$B$8,-3)</f>
        <v>4621000</v>
      </c>
      <c r="J25" s="6">
        <f t="shared" si="3"/>
        <v>46.2</v>
      </c>
      <c r="K25" s="4">
        <v>30</v>
      </c>
    </row>
    <row r="26" spans="1:11" x14ac:dyDescent="0.25">
      <c r="A26" s="2">
        <v>46587</v>
      </c>
      <c r="B26" s="3" t="s">
        <v>16</v>
      </c>
      <c r="C26" s="4">
        <v>29</v>
      </c>
      <c r="D26" s="5">
        <v>0.56200000000000006</v>
      </c>
      <c r="E26" s="4" t="str">
        <f t="shared" si="0"/>
        <v>Medium</v>
      </c>
      <c r="F26" s="6">
        <f>ROUND(MIN(Formula!$B$5,MAX(Formula!$B$4,Formula!$B$4*D26^(-Formula!$B$9))),1)</f>
        <v>13.5</v>
      </c>
      <c r="G26" s="6">
        <f t="shared" si="1"/>
        <v>2.2000000000000002</v>
      </c>
      <c r="H26" s="7">
        <f t="shared" si="2"/>
        <v>0.52</v>
      </c>
      <c r="I26" s="8">
        <f>ROUND(D26*Formula!$B$8,-3)</f>
        <v>4230000</v>
      </c>
      <c r="J26" s="6">
        <f t="shared" si="3"/>
        <v>42.3</v>
      </c>
      <c r="K26" s="4">
        <v>30</v>
      </c>
    </row>
    <row r="27" spans="1:11" x14ac:dyDescent="0.25">
      <c r="A27" s="2">
        <v>46594</v>
      </c>
      <c r="B27" s="3" t="s">
        <v>16</v>
      </c>
      <c r="C27" s="4">
        <v>30</v>
      </c>
      <c r="D27" s="5">
        <v>0.53</v>
      </c>
      <c r="E27" s="4" t="str">
        <f t="shared" si="0"/>
        <v>Medium</v>
      </c>
      <c r="F27" s="6">
        <f>ROUND(MIN(Formula!$B$5,MAX(Formula!$B$4,Formula!$B$4*D27^(-Formula!$B$9))),1)</f>
        <v>15.5</v>
      </c>
      <c r="G27" s="6">
        <f t="shared" si="1"/>
        <v>1.9</v>
      </c>
      <c r="H27" s="7">
        <f t="shared" si="2"/>
        <v>0.45</v>
      </c>
      <c r="I27" s="8">
        <f>ROUND(D27*Formula!$B$8,-3)</f>
        <v>3989000</v>
      </c>
      <c r="J27" s="6">
        <f t="shared" si="3"/>
        <v>39.9</v>
      </c>
      <c r="K27" s="4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5" x14ac:dyDescent="0.25"/>
  <cols>
    <col min="1" max="1" width="62" customWidth="1"/>
    <col min="2" max="2" width="16" customWidth="1"/>
    <col min="3" max="3" width="10" customWidth="1"/>
  </cols>
  <sheetData>
    <row r="1" spans="1:3" ht="18.75" customHeight="1" x14ac:dyDescent="0.3">
      <c r="A1" s="9" t="s">
        <v>17</v>
      </c>
    </row>
    <row r="3" spans="1:3" x14ac:dyDescent="0.25">
      <c r="A3" s="10" t="s">
        <v>18</v>
      </c>
      <c r="B3" s="10" t="s">
        <v>19</v>
      </c>
      <c r="C3" s="10" t="s">
        <v>20</v>
      </c>
    </row>
    <row r="4" spans="1:3" x14ac:dyDescent="0.25">
      <c r="A4" t="s">
        <v>21</v>
      </c>
      <c r="B4" s="11">
        <v>3.5</v>
      </c>
      <c r="C4" t="s">
        <v>22</v>
      </c>
    </row>
    <row r="5" spans="1:3" x14ac:dyDescent="0.25">
      <c r="A5" t="s">
        <v>23</v>
      </c>
      <c r="B5" s="11">
        <v>35</v>
      </c>
      <c r="C5" t="s">
        <v>24</v>
      </c>
    </row>
    <row r="6" spans="1:3" x14ac:dyDescent="0.25">
      <c r="A6" t="s">
        <v>25</v>
      </c>
      <c r="B6" s="11">
        <v>0.4</v>
      </c>
      <c r="C6" t="s">
        <v>26</v>
      </c>
    </row>
    <row r="7" spans="1:3" x14ac:dyDescent="0.25">
      <c r="A7" t="s">
        <v>27</v>
      </c>
      <c r="B7" s="11">
        <v>30</v>
      </c>
      <c r="C7" t="s">
        <v>28</v>
      </c>
    </row>
    <row r="8" spans="1:3" x14ac:dyDescent="0.25">
      <c r="A8" t="s">
        <v>29</v>
      </c>
      <c r="B8" s="12">
        <v>7526000</v>
      </c>
      <c r="C8" t="s">
        <v>30</v>
      </c>
    </row>
    <row r="9" spans="1:3" x14ac:dyDescent="0.25">
      <c r="A9" t="s">
        <v>31</v>
      </c>
      <c r="B9" s="13">
        <f>LN(B7/B4)/LN(1/B6)</f>
        <v>2.3447082224355151</v>
      </c>
      <c r="C9" t="s">
        <v>32</v>
      </c>
    </row>
    <row r="11" spans="1:3" x14ac:dyDescent="0.25">
      <c r="A11" s="14" t="s">
        <v>33</v>
      </c>
    </row>
    <row r="12" spans="1:3" x14ac:dyDescent="0.25">
      <c r="A12" t="s">
        <v>34</v>
      </c>
    </row>
    <row r="13" spans="1:3" x14ac:dyDescent="0.25">
      <c r="A13" t="s">
        <v>35</v>
      </c>
    </row>
    <row r="15" spans="1:3" x14ac:dyDescent="0.25">
      <c r="A15" s="14" t="s">
        <v>36</v>
      </c>
    </row>
    <row r="16" spans="1:3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Nimish Patil</cp:lastModifiedBy>
  <dcterms:created xsi:type="dcterms:W3CDTF">2026-10-24T19:23:36Z</dcterms:created>
  <dcterms:modified xsi:type="dcterms:W3CDTF">2026-10-24T19:24:06Z</dcterms:modified>
</cp:coreProperties>
</file>